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实收台账" sheetId="1" state="visible" r:id="rId1"/>
    <sheet xmlns:r="http://schemas.openxmlformats.org/officeDocument/2006/relationships" name="支出流水" sheetId="2" state="visible" r:id="rId2"/>
    <sheet xmlns:r="http://schemas.openxmlformats.org/officeDocument/2006/relationships" name="基金事件" sheetId="3" state="visible" r:id="rId3"/>
    <sheet xmlns:r="http://schemas.openxmlformats.org/officeDocument/2006/relationships" name="月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B5410"/>
      <sz val="11"/>
    </font>
    <font>
      <color rgb="000000FF"/>
    </font>
    <font>
      <color rgb="00000000"/>
    </font>
    <font>
      <i val="1"/>
      <color rgb="007A766C"/>
      <sz val="9"/>
    </font>
  </fonts>
  <fills count="3">
    <fill>
      <patternFill/>
    </fill>
    <fill>
      <patternFill patternType="gray125"/>
    </fill>
    <fill>
      <patternFill patternType="solid">
        <fgColor rgb="00F7EFD9"/>
      </patternFill>
    </fill>
  </fills>
  <borders count="2">
    <border>
      <left/>
      <right/>
      <top/>
      <bottom/>
      <diagonal/>
    </border>
    <border>
      <left style="thin">
        <color rgb="00E7E3D8"/>
      </left>
      <right style="thin">
        <color rgb="00E7E3D8"/>
      </right>
      <top style="thin">
        <color rgb="00E7E3D8"/>
      </top>
      <bottom style="thin">
        <color rgb="00E7E3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日期</t>
        </is>
      </c>
      <c r="B1" s="1" t="inlineStr">
        <is>
          <t>场地</t>
        </is>
      </c>
      <c r="C1" s="1" t="inlineStr">
        <is>
          <t>类型</t>
        </is>
      </c>
      <c r="D1" s="1" t="inlineStr">
        <is>
          <t>出勤名单</t>
        </is>
      </c>
      <c r="E1" s="1" t="inlineStr">
        <is>
          <t>应收</t>
        </is>
      </c>
      <c r="F1" s="1" t="inlineStr">
        <is>
          <t>实收</t>
        </is>
      </c>
      <c r="G1" s="1" t="inlineStr">
        <is>
          <t>现金成本</t>
        </is>
      </c>
      <c r="H1" s="1" t="inlineStr">
        <is>
          <t>净结余</t>
        </is>
      </c>
      <c r="I1" s="1" t="inlineStr">
        <is>
          <t>到账状态</t>
        </is>
      </c>
      <c r="J1" s="1" t="inlineStr">
        <is>
          <t>备注</t>
        </is>
      </c>
    </row>
    <row r="2">
      <c r="A2" s="2" t="inlineStr">
        <is>
          <t>2026-08-15</t>
        </is>
      </c>
      <c r="B2" s="2" t="inlineStr">
        <is>
          <t>环岛路音乐广场</t>
        </is>
      </c>
      <c r="C2" s="2" t="inlineStr">
        <is>
          <t>商演</t>
        </is>
      </c>
      <c r="D2" s="2" t="inlineStr">
        <is>
          <t>青宝/超子/梓渊</t>
        </is>
      </c>
      <c r="E2" s="2" t="n">
        <v>1600</v>
      </c>
      <c r="F2" s="2" t="n">
        <v>1600</v>
      </c>
      <c r="G2" s="2" t="n">
        <v>0</v>
      </c>
      <c r="H2" s="3">
        <f>IF(F2="","",F2-G2)</f>
        <v/>
      </c>
      <c r="I2" s="4" t="inlineStr">
        <is>
          <t>已结清</t>
        </is>
      </c>
      <c r="J2" s="4" t="inlineStr">
        <is>
          <t>现结</t>
        </is>
      </c>
    </row>
    <row r="3">
      <c r="A3" s="2" t="inlineStr">
        <is>
          <t>2026-08-16</t>
        </is>
      </c>
      <c r="B3" s="2" t="inlineStr">
        <is>
          <t>甜蜜经济</t>
        </is>
      </c>
      <c r="C3" s="2" t="inlineStr">
        <is>
          <t>商演</t>
        </is>
      </c>
      <c r="D3" s="2" t="inlineStr">
        <is>
          <t>青宝/姝言/超子/梓渊/铭哲</t>
        </is>
      </c>
      <c r="E3" s="2" t="n">
        <v>3000</v>
      </c>
      <c r="F3" s="2" t="n">
        <v>1000</v>
      </c>
      <c r="G3" s="2" t="n">
        <v>200</v>
      </c>
      <c r="H3" s="3">
        <f>IF(F3="","",F3-G3)</f>
        <v/>
      </c>
      <c r="I3" s="4" t="inlineStr">
        <is>
          <t>定金已收</t>
        </is>
      </c>
      <c r="J3" s="4" t="inlineStr">
        <is>
          <t>尾款待结</t>
        </is>
      </c>
    </row>
    <row r="6">
      <c r="A6" s="5" t="inlineStr">
        <is>
          <t>使用说明</t>
        </is>
      </c>
    </row>
    <row r="7">
      <c r="A7" s="6" t="inlineStr">
        <is>
          <t>1. 每场一行。『出勤名单』必填——这是分账根基（长周期统一结时按各场出勤累加，与结算时点无关）。</t>
        </is>
      </c>
    </row>
    <row r="8">
      <c r="A8" s="6" t="inlineStr">
        <is>
          <t>2. 『应收』= 本场应得收入；『实收』= 已到账金额。定金/口头约定/长周期统一结：先填应收，到账后补实收。</t>
        </is>
      </c>
    </row>
    <row r="9">
      <c r="A9" s="6" t="inlineStr">
        <is>
          <t>3. 『现金成本』= 本场实际发生的现金支出（电力/运输/餐饮/场地方分成），凭票填写。</t>
        </is>
      </c>
    </row>
    <row r="10">
      <c r="A10" s="6" t="inlineStr">
        <is>
          <t>4. 『净结余』= 应收-成本，分账时按出勤人头均分。基金平时不预扣，需要时单独记（见『基金事件』表）。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类目</t>
        </is>
      </c>
      <c r="C1" s="1" t="inlineStr">
        <is>
          <t>金额</t>
        </is>
      </c>
      <c r="D1" s="1" t="inlineStr">
        <is>
          <t>经手人</t>
        </is>
      </c>
      <c r="E1" s="1" t="inlineStr">
        <is>
          <t>性质</t>
        </is>
      </c>
      <c r="F1" s="1" t="inlineStr">
        <is>
          <t>备注</t>
        </is>
      </c>
    </row>
    <row r="2">
      <c r="A2" s="2" t="inlineStr">
        <is>
          <t>2026-08-16</t>
        </is>
      </c>
      <c r="B2" s="2" t="inlineStr">
        <is>
          <t>运输</t>
        </is>
      </c>
      <c r="C2" s="2" t="n">
        <v>150</v>
      </c>
      <c r="D2" s="2" t="inlineStr">
        <is>
          <t>青宝</t>
        </is>
      </c>
      <c r="E2" s="2" t="inlineStr">
        <is>
          <t>乐队</t>
        </is>
      </c>
      <c r="F2" s="2" t="inlineStr">
        <is>
          <t>运费</t>
        </is>
      </c>
    </row>
    <row r="3">
      <c r="A3" s="2" t="inlineStr">
        <is>
          <t>2026-08-16</t>
        </is>
      </c>
      <c r="B3" s="2" t="inlineStr">
        <is>
          <t>餐饮</t>
        </is>
      </c>
      <c r="C3" s="2" t="n">
        <v>80</v>
      </c>
      <c r="D3" s="2" t="inlineStr">
        <is>
          <t>超子</t>
        </is>
      </c>
      <c r="E3" s="2" t="inlineStr">
        <is>
          <t>垫付</t>
        </is>
      </c>
      <c r="F3" s="2" t="inlineStr">
        <is>
          <t>晚饭</t>
        </is>
      </c>
    </row>
    <row r="6">
      <c r="A6" s="6" t="inlineStr">
        <is>
          <t>1. 类目：电力/运输/餐饮/分账/设备维修/宣发/其他。</t>
        </is>
      </c>
    </row>
    <row r="7">
      <c r="A7" s="6" t="inlineStr">
        <is>
          <t>2. 性质：个人资产（乐手自购自持，算个人开支）→ 不占基金；乐队公共 → 基金支出；垫付 → 基金报销。</t>
        </is>
      </c>
    </row>
    <row r="8">
      <c r="A8" s="6" t="inlineStr">
        <is>
          <t>3. 判定一句话：『资产最终归谁，钱就谁出』——归个人则个人掏，归乐队共用则基金掏。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日期</t>
        </is>
      </c>
      <c r="B1" s="1" t="inlineStr">
        <is>
          <t>事由</t>
        </is>
      </c>
      <c r="C1" s="1" t="inlineStr">
        <is>
          <t>金额</t>
        </is>
      </c>
      <c r="D1" s="1" t="inlineStr">
        <is>
          <t>分摊人头</t>
        </is>
      </c>
      <c r="E1" s="1" t="inlineStr">
        <is>
          <t>人均</t>
        </is>
      </c>
      <c r="F1" s="1" t="inlineStr">
        <is>
          <t>状态</t>
        </is>
      </c>
      <c r="G1" s="1" t="inlineStr">
        <is>
          <t>备注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</row>
    <row r="6">
      <c r="A6" s="6" t="inlineStr">
        <is>
          <t>1. 基金平时余额为 0，只有出现具体需要时才凑（触发式，非每场抽成）。</t>
        </is>
      </c>
    </row>
    <row r="7">
      <c r="A7" s="6" t="inlineStr">
        <is>
          <t>2. 需要时：报金额+用途 → 全员按人头均摊 → 群收款收齐 → 支出 → 记一行，花完即清。</t>
        </is>
      </c>
    </row>
    <row r="8">
      <c r="A8" s="6" t="inlineStr">
        <is>
          <t>3. 只记：设备维修/乐队公共采购/宣发。个人资产购置不算基金。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</cols>
  <sheetData>
    <row r="1">
      <c r="A1" s="1" t="inlineStr">
        <is>
          <t>月份</t>
        </is>
      </c>
      <c r="B1" s="1" t="inlineStr">
        <is>
          <t>场次数</t>
        </is>
      </c>
      <c r="C1" s="1" t="inlineStr">
        <is>
          <t>应收合计</t>
        </is>
      </c>
      <c r="D1" s="1" t="inlineStr">
        <is>
          <t>实收合计</t>
        </is>
      </c>
      <c r="E1" s="1" t="inlineStr">
        <is>
          <t>成本合计</t>
        </is>
      </c>
      <c r="F1" s="1" t="inlineStr">
        <is>
          <t>净结余</t>
        </is>
      </c>
      <c r="G1" s="1" t="inlineStr">
        <is>
          <t>说明</t>
        </is>
      </c>
    </row>
    <row r="2">
      <c r="A2" s="4" t="inlineStr">
        <is>
          <t>2026-01</t>
        </is>
      </c>
      <c r="B2" s="3">
        <f>SUMPRODUCT(--(LEFT(应收实收台账!A2:A1000,7)="2026-01"))</f>
        <v/>
      </c>
      <c r="C2" s="3">
        <f>SUMIFS(应收实收台账!E2:E1000,应收实收台账!A2:A1000,"2026-01*")</f>
        <v/>
      </c>
      <c r="D2" s="3">
        <f>SUMIFS(应收实收台账!F2:F1000,应收实收台账!A2:A1000,"2026-01*")</f>
        <v/>
      </c>
      <c r="E2" s="3">
        <f>SUMIFS(应收实收台账!G2:G1000,应收实收台账!A2:A1000,"2026-01*")</f>
        <v/>
      </c>
      <c r="F2" s="3">
        <f>IF(C2="",0,C2-E2)</f>
        <v/>
      </c>
      <c r="G2" s="4" t="inlineStr"/>
    </row>
    <row r="3">
      <c r="A3" s="4" t="inlineStr">
        <is>
          <t>2026-02</t>
        </is>
      </c>
      <c r="B3" s="3">
        <f>SUMPRODUCT(--(LEFT(应收实收台账!A2:A1000,7)="2026-02"))</f>
        <v/>
      </c>
      <c r="C3" s="3">
        <f>SUMIFS(应收实收台账!E2:E1000,应收实收台账!A2:A1000,"2026-02*")</f>
        <v/>
      </c>
      <c r="D3" s="3">
        <f>SUMIFS(应收实收台账!F2:F1000,应收实收台账!A2:A1000,"2026-02*")</f>
        <v/>
      </c>
      <c r="E3" s="3">
        <f>SUMIFS(应收实收台账!G2:G1000,应收实收台账!A2:A1000,"2026-02*")</f>
        <v/>
      </c>
      <c r="F3" s="3">
        <f>IF(C3="",0,C3-E3)</f>
        <v/>
      </c>
      <c r="G3" s="4" t="inlineStr"/>
    </row>
    <row r="4">
      <c r="A4" s="4" t="inlineStr">
        <is>
          <t>2026-03</t>
        </is>
      </c>
      <c r="B4" s="3">
        <f>SUMPRODUCT(--(LEFT(应收实收台账!A2:A1000,7)="2026-03"))</f>
        <v/>
      </c>
      <c r="C4" s="3">
        <f>SUMIFS(应收实收台账!E2:E1000,应收实收台账!A2:A1000,"2026-03*")</f>
        <v/>
      </c>
      <c r="D4" s="3">
        <f>SUMIFS(应收实收台账!F2:F1000,应收实收台账!A2:A1000,"2026-03*")</f>
        <v/>
      </c>
      <c r="E4" s="3">
        <f>SUMIFS(应收实收台账!G2:G1000,应收实收台账!A2:A1000,"2026-03*")</f>
        <v/>
      </c>
      <c r="F4" s="3">
        <f>IF(C4="",0,C4-E4)</f>
        <v/>
      </c>
      <c r="G4" s="4" t="inlineStr"/>
    </row>
    <row r="5">
      <c r="A5" s="4" t="inlineStr">
        <is>
          <t>2026-04</t>
        </is>
      </c>
      <c r="B5" s="3">
        <f>SUMPRODUCT(--(LEFT(应收实收台账!A2:A1000,7)="2026-04"))</f>
        <v/>
      </c>
      <c r="C5" s="3">
        <f>SUMIFS(应收实收台账!E2:E1000,应收实收台账!A2:A1000,"2026-04*")</f>
        <v/>
      </c>
      <c r="D5" s="3">
        <f>SUMIFS(应收实收台账!F2:F1000,应收实收台账!A2:A1000,"2026-04*")</f>
        <v/>
      </c>
      <c r="E5" s="3">
        <f>SUMIFS(应收实收台账!G2:G1000,应收实收台账!A2:A1000,"2026-04*")</f>
        <v/>
      </c>
      <c r="F5" s="3">
        <f>IF(C5="",0,C5-E5)</f>
        <v/>
      </c>
      <c r="G5" s="4" t="inlineStr"/>
    </row>
    <row r="6">
      <c r="A6" s="4" t="inlineStr">
        <is>
          <t>2026-05</t>
        </is>
      </c>
      <c r="B6" s="3">
        <f>SUMPRODUCT(--(LEFT(应收实收台账!A2:A1000,7)="2026-05"))</f>
        <v/>
      </c>
      <c r="C6" s="3">
        <f>SUMIFS(应收实收台账!E2:E1000,应收实收台账!A2:A1000,"2026-05*")</f>
        <v/>
      </c>
      <c r="D6" s="3">
        <f>SUMIFS(应收实收台账!F2:F1000,应收实收台账!A2:A1000,"2026-05*")</f>
        <v/>
      </c>
      <c r="E6" s="3">
        <f>SUMIFS(应收实收台账!G2:G1000,应收实收台账!A2:A1000,"2026-05*")</f>
        <v/>
      </c>
      <c r="F6" s="3">
        <f>IF(C6="",0,C6-E6)</f>
        <v/>
      </c>
      <c r="G6" s="4" t="inlineStr"/>
    </row>
    <row r="7">
      <c r="A7" s="4" t="inlineStr">
        <is>
          <t>2026-06</t>
        </is>
      </c>
      <c r="B7" s="3">
        <f>SUMPRODUCT(--(LEFT(应收实收台账!A2:A1000,7)="2026-06"))</f>
        <v/>
      </c>
      <c r="C7" s="3">
        <f>SUMIFS(应收实收台账!E2:E1000,应收实收台账!A2:A1000,"2026-06*")</f>
        <v/>
      </c>
      <c r="D7" s="3">
        <f>SUMIFS(应收实收台账!F2:F1000,应收实收台账!A2:A1000,"2026-06*")</f>
        <v/>
      </c>
      <c r="E7" s="3">
        <f>SUMIFS(应收实收台账!G2:G1000,应收实收台账!A2:A1000,"2026-06*")</f>
        <v/>
      </c>
      <c r="F7" s="3">
        <f>IF(C7="",0,C7-E7)</f>
        <v/>
      </c>
      <c r="G7" s="4" t="inlineStr"/>
    </row>
    <row r="8">
      <c r="A8" s="4" t="inlineStr">
        <is>
          <t>2026-07</t>
        </is>
      </c>
      <c r="B8" s="3">
        <f>SUMPRODUCT(--(LEFT(应收实收台账!A2:A1000,7)="2026-07"))</f>
        <v/>
      </c>
      <c r="C8" s="3">
        <f>SUMIFS(应收实收台账!E2:E1000,应收实收台账!A2:A1000,"2026-07*")</f>
        <v/>
      </c>
      <c r="D8" s="3">
        <f>SUMIFS(应收实收台账!F2:F1000,应收实收台账!A2:A1000,"2026-07*")</f>
        <v/>
      </c>
      <c r="E8" s="3">
        <f>SUMIFS(应收实收台账!G2:G1000,应收实收台账!A2:A1000,"2026-07*")</f>
        <v/>
      </c>
      <c r="F8" s="3">
        <f>IF(C8="",0,C8-E8)</f>
        <v/>
      </c>
      <c r="G8" s="4" t="inlineStr"/>
    </row>
    <row r="9">
      <c r="A9" s="4" t="inlineStr">
        <is>
          <t>2026-08</t>
        </is>
      </c>
      <c r="B9" s="3">
        <f>SUMPRODUCT(--(LEFT(应收实收台账!A2:A1000,7)="2026-08"))</f>
        <v/>
      </c>
      <c r="C9" s="3">
        <f>SUMIFS(应收实收台账!E2:E1000,应收实收台账!A2:A1000,"2026-08*")</f>
        <v/>
      </c>
      <c r="D9" s="3">
        <f>SUMIFS(应收实收台账!F2:F1000,应收实收台账!A2:A1000,"2026-08*")</f>
        <v/>
      </c>
      <c r="E9" s="3">
        <f>SUMIFS(应收实收台账!G2:G1000,应收实收台账!A2:A1000,"2026-08*")</f>
        <v/>
      </c>
      <c r="F9" s="3">
        <f>IF(C9="",0,C9-E9)</f>
        <v/>
      </c>
      <c r="G9" s="4" t="inlineStr"/>
    </row>
    <row r="10">
      <c r="A10" s="4" t="inlineStr">
        <is>
          <t>2026-09</t>
        </is>
      </c>
      <c r="B10" s="3">
        <f>SUMPRODUCT(--(LEFT(应收实收台账!A2:A1000,7)="2026-09"))</f>
        <v/>
      </c>
      <c r="C10" s="3">
        <f>SUMIFS(应收实收台账!E2:E1000,应收实收台账!A2:A1000,"2026-09*")</f>
        <v/>
      </c>
      <c r="D10" s="3">
        <f>SUMIFS(应收实收台账!F2:F1000,应收实收台账!A2:A1000,"2026-09*")</f>
        <v/>
      </c>
      <c r="E10" s="3">
        <f>SUMIFS(应收实收台账!G2:G1000,应收实收台账!A2:A1000,"2026-09*")</f>
        <v/>
      </c>
      <c r="F10" s="3">
        <f>IF(C10="",0,C10-E10)</f>
        <v/>
      </c>
      <c r="G10" s="4" t="inlineStr"/>
    </row>
    <row r="11">
      <c r="A11" s="4" t="inlineStr">
        <is>
          <t>2026-10</t>
        </is>
      </c>
      <c r="B11" s="3">
        <f>SUMPRODUCT(--(LEFT(应收实收台账!A2:A1000,7)="2026-10"))</f>
        <v/>
      </c>
      <c r="C11" s="3">
        <f>SUMIFS(应收实收台账!E2:E1000,应收实收台账!A2:A1000,"2026-10*")</f>
        <v/>
      </c>
      <c r="D11" s="3">
        <f>SUMIFS(应收实收台账!F2:F1000,应收实收台账!A2:A1000,"2026-10*")</f>
        <v/>
      </c>
      <c r="E11" s="3">
        <f>SUMIFS(应收实收台账!G2:G1000,应收实收台账!A2:A1000,"2026-10*")</f>
        <v/>
      </c>
      <c r="F11" s="3">
        <f>IF(C11="",0,C11-E11)</f>
        <v/>
      </c>
      <c r="G11" s="4" t="inlineStr"/>
    </row>
    <row r="12">
      <c r="A12" s="4" t="inlineStr">
        <is>
          <t>2026-11</t>
        </is>
      </c>
      <c r="B12" s="3">
        <f>SUMPRODUCT(--(LEFT(应收实收台账!A2:A1000,7)="2026-11"))</f>
        <v/>
      </c>
      <c r="C12" s="3">
        <f>SUMIFS(应收实收台账!E2:E1000,应收实收台账!A2:A1000,"2026-11*")</f>
        <v/>
      </c>
      <c r="D12" s="3">
        <f>SUMIFS(应收实收台账!F2:F1000,应收实收台账!A2:A1000,"2026-11*")</f>
        <v/>
      </c>
      <c r="E12" s="3">
        <f>SUMIFS(应收实收台账!G2:G1000,应收实收台账!A2:A1000,"2026-11*")</f>
        <v/>
      </c>
      <c r="F12" s="3">
        <f>IF(C12="",0,C12-E12)</f>
        <v/>
      </c>
      <c r="G12" s="4" t="inlineStr"/>
    </row>
    <row r="13">
      <c r="A13" s="4" t="inlineStr">
        <is>
          <t>2026-12</t>
        </is>
      </c>
      <c r="B13" s="3">
        <f>SUMPRODUCT(--(LEFT(应收实收台账!A2:A1000,7)="2026-12"))</f>
        <v/>
      </c>
      <c r="C13" s="3">
        <f>SUMIFS(应收实收台账!E2:E1000,应收实收台账!A2:A1000,"2026-12*")</f>
        <v/>
      </c>
      <c r="D13" s="3">
        <f>SUMIFS(应收实收台账!F2:F1000,应收实收台账!A2:A1000,"2026-12*")</f>
        <v/>
      </c>
      <c r="E13" s="3">
        <f>SUMIFS(应收实收台账!G2:G1000,应收实收台账!A2:A1000,"2026-12*")</f>
        <v/>
      </c>
      <c r="F13" s="3">
        <f>IF(C13="",0,C13-E13)</f>
        <v/>
      </c>
      <c r="G13" s="4" t="inlineStr"/>
    </row>
    <row r="15">
      <c r="A15" s="6" t="inlineStr">
        <is>
          <t>1. 公式自动汇总『应收实收台账』，新增场次只需在台账加行，这里自动更新。</t>
        </is>
      </c>
    </row>
    <row r="16">
      <c r="A16" s="6" t="inlineStr">
        <is>
          <t>2. 净结余 = 应收合计 - 成本合计（分账基数）。</t>
        </is>
      </c>
    </row>
    <row r="17">
      <c r="A17" s="6" t="inlineStr">
        <is>
          <t>3. 实收合计 &lt; 应收合计 说明还有尾款/定金未到账，需在台账追踪到账状态。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2026-08-24T07:24:07Z</dcterms:created>
  <dcterms:modified xmlns:dcterms="http://purl.org/dc/terms/" xmlns:xsi="http://www.w3.org/2001/XMLSchema-instance" xsi:type="dcterms:W3CDTF">2026-08-24T07:24:07Z</dcterms:modified>
</cp:coreProperties>
</file>